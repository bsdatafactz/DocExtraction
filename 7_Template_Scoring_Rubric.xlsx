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eek 1" sheetId="2" state="visible" r:id="rId4"/>
    <sheet name="Week 2" sheetId="3" state="visible" r:id="rId5"/>
    <sheet name="Week 3" sheetId="4" state="visible" r:id="rId6"/>
    <sheet name="Week 4" sheetId="5" state="visible" r:id="rId7"/>
    <sheet name="Week 5" sheetId="6" state="visible" r:id="rId8"/>
    <sheet name="Summary" sheetId="7" state="visible" r:id="rId9"/>
    <sheet name="Cert Track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<sst xmlns="http://schemas.openxmlformats.org/spreadsheetml/2006/main" count="150" uniqueCount="85">
  <si>
    <t xml:space="preserve">DataFactZ AI Training Program — Scoring Rubric</t>
  </si>
  <si>
    <t xml:space="preserve">Score each criterion 1.0–5.0 (decimals allowed) on the weekly tabs. Weighted scores compute automatically. Edit only yellow cells.</t>
  </si>
  <si>
    <t xml:space="preserve">Criterion</t>
  </si>
  <si>
    <t xml:space="preserve">Weight</t>
  </si>
  <si>
    <t xml:space="preserve">What we look for</t>
  </si>
  <si>
    <t xml:space="preserve">Architectural reasoning</t>
  </si>
  <si>
    <t xml:space="preserve">Sound decisions, trade-off analysis, rejected alternatives named, patterns fit the problem</t>
  </si>
  <si>
    <t xml:space="preserve">Technical implementation</t>
  </si>
  <si>
    <t xml:space="preserve">Working full-stack software: API design, database schema, code quality, error handling, security basics, scalability reasoning, git hygiene</t>
  </si>
  <si>
    <t xml:space="preserve">Attention to detail</t>
  </si>
  <si>
    <t xml:space="preserve">Zero typos, consistent naming, edge cases handled, no committed secrets, checklists complete</t>
  </si>
  <si>
    <t xml:space="preserve">UI &amp; branding</t>
  </si>
  <si>
    <t xml:space="preserve">Modern polished UI, DataFactZ brand standards, consistency across apps</t>
  </si>
  <si>
    <t xml:space="preserve">Documentation quality</t>
  </si>
  <si>
    <t xml:space="preserve">Client-ready writing: clear, structured, complete, correct</t>
  </si>
  <si>
    <t xml:space="preserve">Communication &amp; presentation</t>
  </si>
  <si>
    <t xml:space="preserve">Demo clarity, timing, Q&amp;A performance, defends decisions</t>
  </si>
  <si>
    <t xml:space="preserve">AI usage transparency</t>
  </si>
  <si>
    <t xml:space="preserve">Honest, specific AI usage log; can explain everything shipped</t>
  </si>
  <si>
    <t xml:space="preserve">Creativity</t>
  </si>
  <si>
    <t xml:space="preserve">Thoughtful extras, elegant solutions, justified deviations</t>
  </si>
  <si>
    <t xml:space="preserve">Process &amp; timeliness</t>
  </si>
  <si>
    <t xml:space="preserve">On-time deliverables, complete status reports, steady commits</t>
  </si>
  <si>
    <t xml:space="preserve">Total</t>
  </si>
  <si>
    <t xml:space="preserve">Scoring scale</t>
  </si>
  <si>
    <t xml:space="preserve">Score range</t>
  </si>
  <si>
    <t xml:space="preserve">Meaning</t>
  </si>
  <si>
    <t xml:space="preserve">4.0 – 5.0</t>
  </si>
  <si>
    <t xml:space="preserve">Client-ready</t>
  </si>
  <si>
    <t xml:space="preserve">3.0 – 3.9</t>
  </si>
  <si>
    <t xml:space="preserve">Minor polish required</t>
  </si>
  <si>
    <t xml:space="preserve">2.5 – 2.9</t>
  </si>
  <si>
    <t xml:space="preserve">Acceptable</t>
  </si>
  <si>
    <t xml:space="preserve">2.0 – 2.4</t>
  </si>
  <si>
    <t xml:space="preserve">Needs more preparation time</t>
  </si>
  <si>
    <t xml:space="preserve">Below 2.0</t>
  </si>
  <si>
    <t xml:space="preserve">Did not meet the bar — significant gaps</t>
  </si>
  <si>
    <t xml:space="preserve">Legend</t>
  </si>
  <si>
    <t xml:space="preserve">Yellow cells with blue text are the cells you edit (weights here; names and 1–5 scores on weekly tabs). Everything else computes automatically.</t>
  </si>
  <si>
    <t xml:space="preserve">Week 1 — Use Case 1 — RAG Knowledge Chatbot (Azure)</t>
  </si>
  <si>
    <t xml:space="preserve">Enter names and 1.0–5.0 scores (decimals allowed) in yellow cells. Weighted % computes automatically.</t>
  </si>
  <si>
    <t xml:space="preserve">Intern</t>
  </si>
  <si>
    <t xml:space="preserve">Architectural reasoning (20%)</t>
  </si>
  <si>
    <t xml:space="preserve">Technical implementation (20%)</t>
  </si>
  <si>
    <t xml:space="preserve">Attention to detail (15%)</t>
  </si>
  <si>
    <t xml:space="preserve">UI &amp; branding (10%)</t>
  </si>
  <si>
    <t xml:space="preserve">Documentation quality (10%)</t>
  </si>
  <si>
    <t xml:space="preserve">Communication &amp; presentation (10%)</t>
  </si>
  <si>
    <t xml:space="preserve">AI usage transparency (5%)</t>
  </si>
  <si>
    <t xml:space="preserve">Creativity (5%)</t>
  </si>
  <si>
    <t xml:space="preserve">Process &amp; timeliness (5%)</t>
  </si>
  <si>
    <t xml:space="preserve">Weighted score (0–100)</t>
  </si>
  <si>
    <t xml:space="preserve">Notes</t>
  </si>
  <si>
    <t xml:space="preserve">Example Intern</t>
  </si>
  <si>
    <t xml:space="preserve">Delete this example row's scores when scoring real interns</t>
  </si>
  <si>
    <t xml:space="preserve">Week 2 — Use Case 2 — Unstructured Document Extraction (open source)</t>
  </si>
  <si>
    <t xml:space="preserve">Week 3 — Use Case 3 — Breach Analytics: DESIGN REVIEW</t>
  </si>
  <si>
    <t xml:space="preserve">Week 4 — Use Case 3 build + capstone presentation + innovation idea one-pager</t>
  </si>
  <si>
    <t xml:space="preserve">Week 5 — Innovation Pitch — self-proposed enterprise use case + Final Learning Report</t>
  </si>
  <si>
    <t xml:space="preserve">Program Summary — per intern</t>
  </si>
  <si>
    <t xml:space="preserve">Enter intern names exactly as on the weekly tabs (yellow). Weekly weighted scores pull automatically; blank until scored.</t>
  </si>
  <si>
    <t xml:space="preserve">Week 1</t>
  </si>
  <si>
    <t xml:space="preserve">Week 2</t>
  </si>
  <si>
    <t xml:space="preserve">Week 3 (design)</t>
  </si>
  <si>
    <t xml:space="preserve">Week 4 (capstone)</t>
  </si>
  <si>
    <t xml:space="preserve">Week 5 (pitch)</t>
  </si>
  <si>
    <t xml:space="preserve">Average</t>
  </si>
  <si>
    <t xml:space="preserve">Trend (W5−W1)</t>
  </si>
  <si>
    <t xml:space="preserve">Readiness call</t>
  </si>
  <si>
    <t xml:space="preserve">Conversion notes</t>
  </si>
  <si>
    <t xml:space="preserve">Ready with mentoring</t>
  </si>
  <si>
    <t xml:space="preserve">Strong reasoning; watch detail scores — example row, replace</t>
  </si>
  <si>
    <t xml:space="preserve">Readiness scale: Ready for client engagement · Ready with mentoring · Not yet ready</t>
  </si>
  <si>
    <t xml:space="preserve">Claude Certified Architect (CCA-F) — progress tracker</t>
  </si>
  <si>
    <t xml:space="preserve">All yellow cells are manual entry, updated from weekly status reports. Gate column flags automatically at 90%+.</t>
  </si>
  <si>
    <t xml:space="preserve">Skilljar courses completed</t>
  </si>
  <si>
    <t xml:space="preserve">Practice test 1 (%)</t>
  </si>
  <si>
    <t xml:space="preserve">Practice test 2 (%)</t>
  </si>
  <si>
    <t xml:space="preserve">Practice test 3 (%)</t>
  </si>
  <si>
    <t xml:space="preserve">Best score (%)</t>
  </si>
  <si>
    <t xml:space="preserve">90% gate met?</t>
  </si>
  <si>
    <t xml:space="preserve">Exam booked (date)</t>
  </si>
  <si>
    <t xml:space="preserve">Exam result</t>
  </si>
  <si>
    <t xml:space="preserve">Building with the Claude API; MCP Intro</t>
  </si>
  <si>
    <t xml:space="preserve">Example row — replace. Exam via Pearson VUE, DataFactZ email only.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</si>
</sst>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\+0.0;\-0.0;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127"/>
      <name val="Arial"/>
      <family val="0"/>
      <charset val="1"/>
    </font>
    <font>
      <i val="true"/>
      <sz val="9"/>
      <color rgb="FF5B6B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8212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C7900"/>
      <name val="Arial"/>
      <family val="0"/>
      <charset val="1"/>
    </font>
    <font>
      <b val="true"/>
      <sz val="10"/>
      <color rgb="FFFC79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2127"/>
        <bgColor rgb="FF0033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C7900"/>
      <rgbColor rgb="FF5B6B7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1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5" t="n">
        <v>0.2</v>
      </c>
      <c r="C5" s="6" t="s">
        <v>6</v>
      </c>
    </row>
    <row r="6" customFormat="false" ht="23.85" hidden="false" customHeight="false" outlineLevel="0" collapsed="false">
      <c r="A6" s="4" t="s">
        <v>7</v>
      </c>
      <c r="B6" s="5" t="n">
        <v>0.2</v>
      </c>
      <c r="C6" s="6" t="s">
        <v>8</v>
      </c>
    </row>
    <row r="7" customFormat="false" ht="23.85" hidden="false" customHeight="false" outlineLevel="0" collapsed="false">
      <c r="A7" s="4" t="s">
        <v>9</v>
      </c>
      <c r="B7" s="5" t="n">
        <v>0.15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0.1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0.1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0.1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0.05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5" t="n">
        <v>0.05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5" t="n">
        <v>0.05</v>
      </c>
      <c r="C13" s="6" t="s">
        <v>22</v>
      </c>
    </row>
    <row r="14" customFormat="false" ht="15" hidden="false" customHeight="false" outlineLevel="0" collapsed="false">
      <c r="A14" s="7" t="s">
        <v>23</v>
      </c>
      <c r="B14" s="8" t="n">
        <f aca="false">SUM(B5:B13)</f>
        <v>1</v>
      </c>
      <c r="C14" s="9"/>
    </row>
    <row r="16" customFormat="false" ht="15" hidden="false" customHeight="false" outlineLevel="0" collapsed="false">
      <c r="A16" s="10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</row>
    <row r="18" customFormat="false" ht="15" hidden="false" customHeight="false" outlineLevel="0" collapsed="false">
      <c r="A18" s="7" t="s">
        <v>27</v>
      </c>
      <c r="B18" s="11" t="s">
        <v>28</v>
      </c>
    </row>
    <row r="19" customFormat="false" ht="15" hidden="false" customHeight="false" outlineLevel="0" collapsed="false">
      <c r="A19" s="7" t="s">
        <v>29</v>
      </c>
      <c r="B19" s="11" t="s">
        <v>30</v>
      </c>
    </row>
    <row r="20" customFormat="false" ht="15" hidden="false" customHeight="false" outlineLevel="0" collapsed="false">
      <c r="A20" s="7" t="s">
        <v>31</v>
      </c>
      <c r="B20" s="11" t="s">
        <v>32</v>
      </c>
    </row>
    <row r="21" customFormat="false" ht="15" hidden="false" customHeight="false" outlineLevel="0" collapsed="false">
      <c r="A21" s="7" t="s">
        <v>33</v>
      </c>
      <c r="B21" s="11" t="s">
        <v>34</v>
      </c>
    </row>
    <row r="22" customFormat="false" ht="15" hidden="false" customHeight="false" outlineLevel="0" collapsed="false">
      <c r="A22" s="7" t="s">
        <v>35</v>
      </c>
      <c r="B22" s="11" t="s">
        <v>36</v>
      </c>
    </row>
    <row r="24" customFormat="false" ht="15" hidden="false" customHeight="false" outlineLevel="0" collapsed="false">
      <c r="A24" s="10" t="s">
        <v>37</v>
      </c>
    </row>
    <row r="25" customFormat="false" ht="15" hidden="false" customHeight="false" outlineLevel="0" collapsed="false">
      <c r="A25" s="12" t="s">
        <v>38</v>
      </c>
      <c r="B25" s="12"/>
      <c r="C25" s="12"/>
    </row>
  </sheetData>
  <mergeCells count="1">
    <mergeCell ref="A25:C25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3"/>
    <col collapsed="false" customWidth="true" hidden="false" outlineLevel="0" max="11" min="11" style="0" width="15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42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13" t="s">
        <v>53</v>
      </c>
      <c r="B5" s="14" t="n">
        <v>4</v>
      </c>
      <c r="C5" s="14" t="n">
        <v>4</v>
      </c>
      <c r="D5" s="14" t="n">
        <v>3</v>
      </c>
      <c r="E5" s="14" t="n">
        <v>5</v>
      </c>
      <c r="F5" s="14" t="n">
        <v>4</v>
      </c>
      <c r="G5" s="14" t="n">
        <v>4</v>
      </c>
      <c r="H5" s="14" t="n">
        <v>5</v>
      </c>
      <c r="I5" s="14" t="n">
        <v>3</v>
      </c>
      <c r="J5" s="14" t="n">
        <v>4</v>
      </c>
      <c r="K5" s="15" t="n">
        <f aca="false">IF(COUNT(B5:J5)&lt;9,"",(B5*Overview!$B$5+C5*Overview!$B$6+D5*Overview!$B$7+E5*Overview!$B$8+F5*Overview!$B$9+G5*Overview!$B$10+H5*Overview!$B$11+I5*Overview!$B$12+J5*Overview!$B$13)/5*100)</f>
        <v>79</v>
      </c>
      <c r="L5" s="16" t="s">
        <v>54</v>
      </c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5" t="str">
        <f aca="false">IF(COUNT(B6:J6)&lt;9,"",(B6*Overview!$B$5+C6*Overview!$B$6+D6*Overview!$B$7+E6*Overview!$B$8+F6*Overview!$B$9+G6*Overview!$B$10+H6*Overview!$B$11+I6*Overview!$B$12+J6*Overview!$B$13)/5*100)</f>
        <v/>
      </c>
      <c r="L6" s="16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5" t="str">
        <f aca="false">IF(COUNT(B7:J7)&lt;9,"",(B7*Overview!$B$5+C7*Overview!$B$6+D7*Overview!$B$7+E7*Overview!$B$8+F7*Overview!$B$9+G7*Overview!$B$10+H7*Overview!$B$11+I7*Overview!$B$12+J7*Overview!$B$13)/5*100)</f>
        <v/>
      </c>
      <c r="L7" s="16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5" t="str">
        <f aca="false">IF(COUNT(B8:J8)&lt;9,"",(B8*Overview!$B$5+C8*Overview!$B$6+D8*Overview!$B$7+E8*Overview!$B$8+F8*Overview!$B$9+G8*Overview!$B$10+H8*Overview!$B$11+I8*Overview!$B$12+J8*Overview!$B$13)/5*100)</f>
        <v/>
      </c>
      <c r="L8" s="16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5" t="str">
        <f aca="false">IF(COUNT(B9:J9)&lt;9,"",(B9*Overview!$B$5+C9*Overview!$B$6+D9*Overview!$B$7+E9*Overview!$B$8+F9*Overview!$B$9+G9*Overview!$B$10+H9*Overview!$B$11+I9*Overview!$B$12+J9*Overview!$B$13)/5*100)</f>
        <v/>
      </c>
      <c r="L9" s="16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 t="str">
        <f aca="false">IF(COUNT(B10:J10)&lt;9,"",(B10*Overview!$B$5+C10*Overview!$B$6+D10*Overview!$B$7+E10*Overview!$B$8+F10*Overview!$B$9+G10*Overview!$B$10+H10*Overview!$B$11+I10*Overview!$B$12+J10*Overview!$B$13)/5*100)</f>
        <v/>
      </c>
      <c r="L10" s="16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 t="str">
        <f aca="false">IF(COUNT(B11:J11)&lt;9,"",(B11*Overview!$B$5+C11*Overview!$B$6+D11*Overview!$B$7+E11*Overview!$B$8+F11*Overview!$B$9+G11*Overview!$B$10+H11*Overview!$B$11+I11*Overview!$B$12+J11*Overview!$B$13)/5*100)</f>
        <v/>
      </c>
      <c r="L11" s="16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 t="str">
        <f aca="false">IF(COUNT(B12:J12)&lt;9,"",(B12*Overview!$B$5+C12*Overview!$B$6+D12*Overview!$B$7+E12*Overview!$B$8+F12*Overview!$B$9+G12*Overview!$B$10+H12*Overview!$B$11+I12*Overview!$B$12+J12*Overview!$B$13)/5*100)</f>
        <v/>
      </c>
      <c r="L12" s="16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 t="str">
        <f aca="false">IF(COUNT(B13:J13)&lt;9,"",(B13*Overview!$B$5+C13*Overview!$B$6+D13*Overview!$B$7+E13*Overview!$B$8+F13*Overview!$B$9+G13*Overview!$B$10+H13*Overview!$B$11+I13*Overview!$B$12+J13*Overview!$B$13)/5*100)</f>
        <v/>
      </c>
      <c r="L13" s="16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 t="str">
        <f aca="false">IF(COUNT(B14:J14)&lt;9,"",(B14*Overview!$B$5+C14*Overview!$B$6+D14*Overview!$B$7+E14*Overview!$B$8+F14*Overview!$B$9+G14*Overview!$B$10+H14*Overview!$B$11+I14*Overview!$B$12+J14*Overview!$B$13)/5*100)</f>
        <v/>
      </c>
      <c r="L14" s="16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 t="str">
        <f aca="false">IF(COUNT(B15:J15)&lt;9,"",(B15*Overview!$B$5+C15*Overview!$B$6+D15*Overview!$B$7+E15*Overview!$B$8+F15*Overview!$B$9+G15*Overview!$B$10+H15*Overview!$B$11+I15*Overview!$B$12+J15*Overview!$B$13)/5*100)</f>
        <v/>
      </c>
      <c r="L15" s="16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 t="str">
        <f aca="false">IF(COUNT(B16:J16)&lt;9,"",(B16*Overview!$B$5+C16*Overview!$B$6+D16*Overview!$B$7+E16*Overview!$B$8+F16*Overview!$B$9+G16*Overview!$B$10+H16*Overview!$B$11+I16*Overview!$B$12+J16*Overview!$B$13)/5*100)</f>
        <v/>
      </c>
      <c r="L16" s="16"/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3"/>
    <col collapsed="false" customWidth="true" hidden="false" outlineLevel="0" max="11" min="11" style="0" width="15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40</v>
      </c>
    </row>
    <row r="4" customFormat="false" ht="42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13" t="s">
        <v>53</v>
      </c>
      <c r="B5" s="14" t="n">
        <v>4</v>
      </c>
      <c r="C5" s="14" t="n">
        <v>4</v>
      </c>
      <c r="D5" s="14" t="n">
        <v>3</v>
      </c>
      <c r="E5" s="14" t="n">
        <v>5</v>
      </c>
      <c r="F5" s="14" t="n">
        <v>4</v>
      </c>
      <c r="G5" s="14" t="n">
        <v>4</v>
      </c>
      <c r="H5" s="14" t="n">
        <v>5</v>
      </c>
      <c r="I5" s="14" t="n">
        <v>3</v>
      </c>
      <c r="J5" s="14" t="n">
        <v>4</v>
      </c>
      <c r="K5" s="15" t="n">
        <f aca="false">IF(COUNT(B5:J5)&lt;9,"",(B5*Overview!$B$5+C5*Overview!$B$6+D5*Overview!$B$7+E5*Overview!$B$8+F5*Overview!$B$9+G5*Overview!$B$10+H5*Overview!$B$11+I5*Overview!$B$12+J5*Overview!$B$13)/5*100)</f>
        <v>79</v>
      </c>
      <c r="L5" s="16" t="s">
        <v>54</v>
      </c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5" t="str">
        <f aca="false">IF(COUNT(B6:J6)&lt;9,"",(B6*Overview!$B$5+C6*Overview!$B$6+D6*Overview!$B$7+E6*Overview!$B$8+F6*Overview!$B$9+G6*Overview!$B$10+H6*Overview!$B$11+I6*Overview!$B$12+J6*Overview!$B$13)/5*100)</f>
        <v/>
      </c>
      <c r="L6" s="16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5" t="str">
        <f aca="false">IF(COUNT(B7:J7)&lt;9,"",(B7*Overview!$B$5+C7*Overview!$B$6+D7*Overview!$B$7+E7*Overview!$B$8+F7*Overview!$B$9+G7*Overview!$B$10+H7*Overview!$B$11+I7*Overview!$B$12+J7*Overview!$B$13)/5*100)</f>
        <v/>
      </c>
      <c r="L7" s="16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5" t="str">
        <f aca="false">IF(COUNT(B8:J8)&lt;9,"",(B8*Overview!$B$5+C8*Overview!$B$6+D8*Overview!$B$7+E8*Overview!$B$8+F8*Overview!$B$9+G8*Overview!$B$10+H8*Overview!$B$11+I8*Overview!$B$12+J8*Overview!$B$13)/5*100)</f>
        <v/>
      </c>
      <c r="L8" s="16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5" t="str">
        <f aca="false">IF(COUNT(B9:J9)&lt;9,"",(B9*Overview!$B$5+C9*Overview!$B$6+D9*Overview!$B$7+E9*Overview!$B$8+F9*Overview!$B$9+G9*Overview!$B$10+H9*Overview!$B$11+I9*Overview!$B$12+J9*Overview!$B$13)/5*100)</f>
        <v/>
      </c>
      <c r="L9" s="16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 t="str">
        <f aca="false">IF(COUNT(B10:J10)&lt;9,"",(B10*Overview!$B$5+C10*Overview!$B$6+D10*Overview!$B$7+E10*Overview!$B$8+F10*Overview!$B$9+G10*Overview!$B$10+H10*Overview!$B$11+I10*Overview!$B$12+J10*Overview!$B$13)/5*100)</f>
        <v/>
      </c>
      <c r="L10" s="16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 t="str">
        <f aca="false">IF(COUNT(B11:J11)&lt;9,"",(B11*Overview!$B$5+C11*Overview!$B$6+D11*Overview!$B$7+E11*Overview!$B$8+F11*Overview!$B$9+G11*Overview!$B$10+H11*Overview!$B$11+I11*Overview!$B$12+J11*Overview!$B$13)/5*100)</f>
        <v/>
      </c>
      <c r="L11" s="16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 t="str">
        <f aca="false">IF(COUNT(B12:J12)&lt;9,"",(B12*Overview!$B$5+C12*Overview!$B$6+D12*Overview!$B$7+E12*Overview!$B$8+F12*Overview!$B$9+G12*Overview!$B$10+H12*Overview!$B$11+I12*Overview!$B$12+J12*Overview!$B$13)/5*100)</f>
        <v/>
      </c>
      <c r="L12" s="16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 t="str">
        <f aca="false">IF(COUNT(B13:J13)&lt;9,"",(B13*Overview!$B$5+C13*Overview!$B$6+D13*Overview!$B$7+E13*Overview!$B$8+F13*Overview!$B$9+G13*Overview!$B$10+H13*Overview!$B$11+I13*Overview!$B$12+J13*Overview!$B$13)/5*100)</f>
        <v/>
      </c>
      <c r="L13" s="16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 t="str">
        <f aca="false">IF(COUNT(B14:J14)&lt;9,"",(B14*Overview!$B$5+C14*Overview!$B$6+D14*Overview!$B$7+E14*Overview!$B$8+F14*Overview!$B$9+G14*Overview!$B$10+H14*Overview!$B$11+I14*Overview!$B$12+J14*Overview!$B$13)/5*100)</f>
        <v/>
      </c>
      <c r="L14" s="16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 t="str">
        <f aca="false">IF(COUNT(B15:J15)&lt;9,"",(B15*Overview!$B$5+C15*Overview!$B$6+D15*Overview!$B$7+E15*Overview!$B$8+F15*Overview!$B$9+G15*Overview!$B$10+H15*Overview!$B$11+I15*Overview!$B$12+J15*Overview!$B$13)/5*100)</f>
        <v/>
      </c>
      <c r="L15" s="16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 t="str">
        <f aca="false">IF(COUNT(B16:J16)&lt;9,"",(B16*Overview!$B$5+C16*Overview!$B$6+D16*Overview!$B$7+E16*Overview!$B$8+F16*Overview!$B$9+G16*Overview!$B$10+H16*Overview!$B$11+I16*Overview!$B$12+J16*Overview!$B$13)/5*100)</f>
        <v/>
      </c>
      <c r="L16" s="16"/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3"/>
    <col collapsed="false" customWidth="true" hidden="false" outlineLevel="0" max="11" min="11" style="0" width="15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40</v>
      </c>
    </row>
    <row r="4" customFormat="false" ht="42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13" t="s">
        <v>53</v>
      </c>
      <c r="B5" s="14" t="n">
        <v>4</v>
      </c>
      <c r="C5" s="14" t="n">
        <v>4</v>
      </c>
      <c r="D5" s="14" t="n">
        <v>3</v>
      </c>
      <c r="E5" s="14" t="n">
        <v>5</v>
      </c>
      <c r="F5" s="14" t="n">
        <v>4</v>
      </c>
      <c r="G5" s="14" t="n">
        <v>4</v>
      </c>
      <c r="H5" s="14" t="n">
        <v>5</v>
      </c>
      <c r="I5" s="14" t="n">
        <v>3</v>
      </c>
      <c r="J5" s="14" t="n">
        <v>4</v>
      </c>
      <c r="K5" s="15" t="n">
        <f aca="false">IF(COUNT(B5:J5)&lt;9,"",(B5*Overview!$B$5+C5*Overview!$B$6+D5*Overview!$B$7+E5*Overview!$B$8+F5*Overview!$B$9+G5*Overview!$B$10+H5*Overview!$B$11+I5*Overview!$B$12+J5*Overview!$B$13)/5*100)</f>
        <v>79</v>
      </c>
      <c r="L5" s="16" t="s">
        <v>54</v>
      </c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5" t="str">
        <f aca="false">IF(COUNT(B6:J6)&lt;9,"",(B6*Overview!$B$5+C6*Overview!$B$6+D6*Overview!$B$7+E6*Overview!$B$8+F6*Overview!$B$9+G6*Overview!$B$10+H6*Overview!$B$11+I6*Overview!$B$12+J6*Overview!$B$13)/5*100)</f>
        <v/>
      </c>
      <c r="L6" s="16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5" t="str">
        <f aca="false">IF(COUNT(B7:J7)&lt;9,"",(B7*Overview!$B$5+C7*Overview!$B$6+D7*Overview!$B$7+E7*Overview!$B$8+F7*Overview!$B$9+G7*Overview!$B$10+H7*Overview!$B$11+I7*Overview!$B$12+J7*Overview!$B$13)/5*100)</f>
        <v/>
      </c>
      <c r="L7" s="16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5" t="str">
        <f aca="false">IF(COUNT(B8:J8)&lt;9,"",(B8*Overview!$B$5+C8*Overview!$B$6+D8*Overview!$B$7+E8*Overview!$B$8+F8*Overview!$B$9+G8*Overview!$B$10+H8*Overview!$B$11+I8*Overview!$B$12+J8*Overview!$B$13)/5*100)</f>
        <v/>
      </c>
      <c r="L8" s="16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5" t="str">
        <f aca="false">IF(COUNT(B9:J9)&lt;9,"",(B9*Overview!$B$5+C9*Overview!$B$6+D9*Overview!$B$7+E9*Overview!$B$8+F9*Overview!$B$9+G9*Overview!$B$10+H9*Overview!$B$11+I9*Overview!$B$12+J9*Overview!$B$13)/5*100)</f>
        <v/>
      </c>
      <c r="L9" s="16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 t="str">
        <f aca="false">IF(COUNT(B10:J10)&lt;9,"",(B10*Overview!$B$5+C10*Overview!$B$6+D10*Overview!$B$7+E10*Overview!$B$8+F10*Overview!$B$9+G10*Overview!$B$10+H10*Overview!$B$11+I10*Overview!$B$12+J10*Overview!$B$13)/5*100)</f>
        <v/>
      </c>
      <c r="L10" s="16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 t="str">
        <f aca="false">IF(COUNT(B11:J11)&lt;9,"",(B11*Overview!$B$5+C11*Overview!$B$6+D11*Overview!$B$7+E11*Overview!$B$8+F11*Overview!$B$9+G11*Overview!$B$10+H11*Overview!$B$11+I11*Overview!$B$12+J11*Overview!$B$13)/5*100)</f>
        <v/>
      </c>
      <c r="L11" s="16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 t="str">
        <f aca="false">IF(COUNT(B12:J12)&lt;9,"",(B12*Overview!$B$5+C12*Overview!$B$6+D12*Overview!$B$7+E12*Overview!$B$8+F12*Overview!$B$9+G12*Overview!$B$10+H12*Overview!$B$11+I12*Overview!$B$12+J12*Overview!$B$13)/5*100)</f>
        <v/>
      </c>
      <c r="L12" s="16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 t="str">
        <f aca="false">IF(COUNT(B13:J13)&lt;9,"",(B13*Overview!$B$5+C13*Overview!$B$6+D13*Overview!$B$7+E13*Overview!$B$8+F13*Overview!$B$9+G13*Overview!$B$10+H13*Overview!$B$11+I13*Overview!$B$12+J13*Overview!$B$13)/5*100)</f>
        <v/>
      </c>
      <c r="L13" s="16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 t="str">
        <f aca="false">IF(COUNT(B14:J14)&lt;9,"",(B14*Overview!$B$5+C14*Overview!$B$6+D14*Overview!$B$7+E14*Overview!$B$8+F14*Overview!$B$9+G14*Overview!$B$10+H14*Overview!$B$11+I14*Overview!$B$12+J14*Overview!$B$13)/5*100)</f>
        <v/>
      </c>
      <c r="L14" s="16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 t="str">
        <f aca="false">IF(COUNT(B15:J15)&lt;9,"",(B15*Overview!$B$5+C15*Overview!$B$6+D15*Overview!$B$7+E15*Overview!$B$8+F15*Overview!$B$9+G15*Overview!$B$10+H15*Overview!$B$11+I15*Overview!$B$12+J15*Overview!$B$13)/5*100)</f>
        <v/>
      </c>
      <c r="L15" s="16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 t="str">
        <f aca="false">IF(COUNT(B16:J16)&lt;9,"",(B16*Overview!$B$5+C16*Overview!$B$6+D16*Overview!$B$7+E16*Overview!$B$8+F16*Overview!$B$9+G16*Overview!$B$10+H16*Overview!$B$11+I16*Overview!$B$12+J16*Overview!$B$13)/5*100)</f>
        <v/>
      </c>
      <c r="L16" s="16"/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3"/>
    <col collapsed="false" customWidth="true" hidden="false" outlineLevel="0" max="11" min="11" style="0" width="15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40</v>
      </c>
    </row>
    <row r="4" customFormat="false" ht="42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13" t="s">
        <v>53</v>
      </c>
      <c r="B5" s="14" t="n">
        <v>4</v>
      </c>
      <c r="C5" s="14" t="n">
        <v>4</v>
      </c>
      <c r="D5" s="14" t="n">
        <v>3</v>
      </c>
      <c r="E5" s="14" t="n">
        <v>5</v>
      </c>
      <c r="F5" s="14" t="n">
        <v>4</v>
      </c>
      <c r="G5" s="14" t="n">
        <v>4</v>
      </c>
      <c r="H5" s="14" t="n">
        <v>5</v>
      </c>
      <c r="I5" s="14" t="n">
        <v>3</v>
      </c>
      <c r="J5" s="14" t="n">
        <v>4</v>
      </c>
      <c r="K5" s="15" t="n">
        <f aca="false">IF(COUNT(B5:J5)&lt;9,"",(B5*Overview!$B$5+C5*Overview!$B$6+D5*Overview!$B$7+E5*Overview!$B$8+F5*Overview!$B$9+G5*Overview!$B$10+H5*Overview!$B$11+I5*Overview!$B$12+J5*Overview!$B$13)/5*100)</f>
        <v>79</v>
      </c>
      <c r="L5" s="16" t="s">
        <v>54</v>
      </c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5" t="str">
        <f aca="false">IF(COUNT(B6:J6)&lt;9,"",(B6*Overview!$B$5+C6*Overview!$B$6+D6*Overview!$B$7+E6*Overview!$B$8+F6*Overview!$B$9+G6*Overview!$B$10+H6*Overview!$B$11+I6*Overview!$B$12+J6*Overview!$B$13)/5*100)</f>
        <v/>
      </c>
      <c r="L6" s="16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5" t="str">
        <f aca="false">IF(COUNT(B7:J7)&lt;9,"",(B7*Overview!$B$5+C7*Overview!$B$6+D7*Overview!$B$7+E7*Overview!$B$8+F7*Overview!$B$9+G7*Overview!$B$10+H7*Overview!$B$11+I7*Overview!$B$12+J7*Overview!$B$13)/5*100)</f>
        <v/>
      </c>
      <c r="L7" s="16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5" t="str">
        <f aca="false">IF(COUNT(B8:J8)&lt;9,"",(B8*Overview!$B$5+C8*Overview!$B$6+D8*Overview!$B$7+E8*Overview!$B$8+F8*Overview!$B$9+G8*Overview!$B$10+H8*Overview!$B$11+I8*Overview!$B$12+J8*Overview!$B$13)/5*100)</f>
        <v/>
      </c>
      <c r="L8" s="16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5" t="str">
        <f aca="false">IF(COUNT(B9:J9)&lt;9,"",(B9*Overview!$B$5+C9*Overview!$B$6+D9*Overview!$B$7+E9*Overview!$B$8+F9*Overview!$B$9+G9*Overview!$B$10+H9*Overview!$B$11+I9*Overview!$B$12+J9*Overview!$B$13)/5*100)</f>
        <v/>
      </c>
      <c r="L9" s="16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 t="str">
        <f aca="false">IF(COUNT(B10:J10)&lt;9,"",(B10*Overview!$B$5+C10*Overview!$B$6+D10*Overview!$B$7+E10*Overview!$B$8+F10*Overview!$B$9+G10*Overview!$B$10+H10*Overview!$B$11+I10*Overview!$B$12+J10*Overview!$B$13)/5*100)</f>
        <v/>
      </c>
      <c r="L10" s="16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 t="str">
        <f aca="false">IF(COUNT(B11:J11)&lt;9,"",(B11*Overview!$B$5+C11*Overview!$B$6+D11*Overview!$B$7+E11*Overview!$B$8+F11*Overview!$B$9+G11*Overview!$B$10+H11*Overview!$B$11+I11*Overview!$B$12+J11*Overview!$B$13)/5*100)</f>
        <v/>
      </c>
      <c r="L11" s="16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 t="str">
        <f aca="false">IF(COUNT(B12:J12)&lt;9,"",(B12*Overview!$B$5+C12*Overview!$B$6+D12*Overview!$B$7+E12*Overview!$B$8+F12*Overview!$B$9+G12*Overview!$B$10+H12*Overview!$B$11+I12*Overview!$B$12+J12*Overview!$B$13)/5*100)</f>
        <v/>
      </c>
      <c r="L12" s="16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 t="str">
        <f aca="false">IF(COUNT(B13:J13)&lt;9,"",(B13*Overview!$B$5+C13*Overview!$B$6+D13*Overview!$B$7+E13*Overview!$B$8+F13*Overview!$B$9+G13*Overview!$B$10+H13*Overview!$B$11+I13*Overview!$B$12+J13*Overview!$B$13)/5*100)</f>
        <v/>
      </c>
      <c r="L13" s="16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 t="str">
        <f aca="false">IF(COUNT(B14:J14)&lt;9,"",(B14*Overview!$B$5+C14*Overview!$B$6+D14*Overview!$B$7+E14*Overview!$B$8+F14*Overview!$B$9+G14*Overview!$B$10+H14*Overview!$B$11+I14*Overview!$B$12+J14*Overview!$B$13)/5*100)</f>
        <v/>
      </c>
      <c r="L14" s="16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 t="str">
        <f aca="false">IF(COUNT(B15:J15)&lt;9,"",(B15*Overview!$B$5+C15*Overview!$B$6+D15*Overview!$B$7+E15*Overview!$B$8+F15*Overview!$B$9+G15*Overview!$B$10+H15*Overview!$B$11+I15*Overview!$B$12+J15*Overview!$B$13)/5*100)</f>
        <v/>
      </c>
      <c r="L15" s="16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 t="str">
        <f aca="false">IF(COUNT(B16:J16)&lt;9,"",(B16*Overview!$B$5+C16*Overview!$B$6+D16*Overview!$B$7+E16*Overview!$B$8+F16*Overview!$B$9+G16*Overview!$B$10+H16*Overview!$B$11+I16*Overview!$B$12+J16*Overview!$B$13)/5*100)</f>
        <v/>
      </c>
      <c r="L16" s="16"/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3"/>
    <col collapsed="false" customWidth="true" hidden="false" outlineLevel="0" max="11" min="11" style="0" width="15"/>
    <col collapsed="false" customWidth="true" hidden="false" outlineLevel="0" max="12" min="12" style="0" width="45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40</v>
      </c>
    </row>
    <row r="4" customFormat="false" ht="42" hidden="false" customHeight="tru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</row>
    <row r="5" customFormat="false" ht="15" hidden="false" customHeight="false" outlineLevel="0" collapsed="false">
      <c r="A5" s="13" t="s">
        <v>53</v>
      </c>
      <c r="B5" s="14" t="n">
        <v>4</v>
      </c>
      <c r="C5" s="14" t="n">
        <v>4</v>
      </c>
      <c r="D5" s="14" t="n">
        <v>3</v>
      </c>
      <c r="E5" s="14" t="n">
        <v>5</v>
      </c>
      <c r="F5" s="14" t="n">
        <v>4</v>
      </c>
      <c r="G5" s="14" t="n">
        <v>4</v>
      </c>
      <c r="H5" s="14" t="n">
        <v>5</v>
      </c>
      <c r="I5" s="14" t="n">
        <v>3</v>
      </c>
      <c r="J5" s="14" t="n">
        <v>4</v>
      </c>
      <c r="K5" s="15" t="n">
        <f aca="false">IF(COUNT(B5:J5)&lt;9,"",(B5*Overview!$B$5+C5*Overview!$B$6+D5*Overview!$B$7+E5*Overview!$B$8+F5*Overview!$B$9+G5*Overview!$B$10+H5*Overview!$B$11+I5*Overview!$B$12+J5*Overview!$B$13)/5*100)</f>
        <v>79</v>
      </c>
      <c r="L5" s="16" t="s">
        <v>54</v>
      </c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5" t="str">
        <f aca="false">IF(COUNT(B6:J6)&lt;9,"",(B6*Overview!$B$5+C6*Overview!$B$6+D6*Overview!$B$7+E6*Overview!$B$8+F6*Overview!$B$9+G6*Overview!$B$10+H6*Overview!$B$11+I6*Overview!$B$12+J6*Overview!$B$13)/5*100)</f>
        <v/>
      </c>
      <c r="L6" s="16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5" t="str">
        <f aca="false">IF(COUNT(B7:J7)&lt;9,"",(B7*Overview!$B$5+C7*Overview!$B$6+D7*Overview!$B$7+E7*Overview!$B$8+F7*Overview!$B$9+G7*Overview!$B$10+H7*Overview!$B$11+I7*Overview!$B$12+J7*Overview!$B$13)/5*100)</f>
        <v/>
      </c>
      <c r="L7" s="16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5" t="str">
        <f aca="false">IF(COUNT(B8:J8)&lt;9,"",(B8*Overview!$B$5+C8*Overview!$B$6+D8*Overview!$B$7+E8*Overview!$B$8+F8*Overview!$B$9+G8*Overview!$B$10+H8*Overview!$B$11+I8*Overview!$B$12+J8*Overview!$B$13)/5*100)</f>
        <v/>
      </c>
      <c r="L8" s="16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5" t="str">
        <f aca="false">IF(COUNT(B9:J9)&lt;9,"",(B9*Overview!$B$5+C9*Overview!$B$6+D9*Overview!$B$7+E9*Overview!$B$8+F9*Overview!$B$9+G9*Overview!$B$10+H9*Overview!$B$11+I9*Overview!$B$12+J9*Overview!$B$13)/5*100)</f>
        <v/>
      </c>
      <c r="L9" s="16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 t="str">
        <f aca="false">IF(COUNT(B10:J10)&lt;9,"",(B10*Overview!$B$5+C10*Overview!$B$6+D10*Overview!$B$7+E10*Overview!$B$8+F10*Overview!$B$9+G10*Overview!$B$10+H10*Overview!$B$11+I10*Overview!$B$12+J10*Overview!$B$13)/5*100)</f>
        <v/>
      </c>
      <c r="L10" s="16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 t="str">
        <f aca="false">IF(COUNT(B11:J11)&lt;9,"",(B11*Overview!$B$5+C11*Overview!$B$6+D11*Overview!$B$7+E11*Overview!$B$8+F11*Overview!$B$9+G11*Overview!$B$10+H11*Overview!$B$11+I11*Overview!$B$12+J11*Overview!$B$13)/5*100)</f>
        <v/>
      </c>
      <c r="L11" s="16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 t="str">
        <f aca="false">IF(COUNT(B12:J12)&lt;9,"",(B12*Overview!$B$5+C12*Overview!$B$6+D12*Overview!$B$7+E12*Overview!$B$8+F12*Overview!$B$9+G12*Overview!$B$10+H12*Overview!$B$11+I12*Overview!$B$12+J12*Overview!$B$13)/5*100)</f>
        <v/>
      </c>
      <c r="L12" s="16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 t="str">
        <f aca="false">IF(COUNT(B13:J13)&lt;9,"",(B13*Overview!$B$5+C13*Overview!$B$6+D13*Overview!$B$7+E13*Overview!$B$8+F13*Overview!$B$9+G13*Overview!$B$10+H13*Overview!$B$11+I13*Overview!$B$12+J13*Overview!$B$13)/5*100)</f>
        <v/>
      </c>
      <c r="L13" s="16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 t="str">
        <f aca="false">IF(COUNT(B14:J14)&lt;9,"",(B14*Overview!$B$5+C14*Overview!$B$6+D14*Overview!$B$7+E14*Overview!$B$8+F14*Overview!$B$9+G14*Overview!$B$10+H14*Overview!$B$11+I14*Overview!$B$12+J14*Overview!$B$13)/5*100)</f>
        <v/>
      </c>
      <c r="L14" s="16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 t="str">
        <f aca="false">IF(COUNT(B15:J15)&lt;9,"",(B15*Overview!$B$5+C15*Overview!$B$6+D15*Overview!$B$7+E15*Overview!$B$8+F15*Overview!$B$9+G15*Overview!$B$10+H15*Overview!$B$11+I15*Overview!$B$12+J15*Overview!$B$13)/5*100)</f>
        <v/>
      </c>
      <c r="L15" s="16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 t="str">
        <f aca="false">IF(COUNT(B16:J16)&lt;9,"",(B16*Overview!$B$5+C16*Overview!$B$6+D16*Overview!$B$7+E16*Overview!$B$8+F16*Overview!$B$9+G16*Overview!$B$10+H16*Overview!$B$11+I16*Overview!$B$12+J16*Overview!$B$13)/5*100)</f>
        <v/>
      </c>
      <c r="L16" s="16"/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45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0" hidden="false" customHeight="true" outlineLevel="0" collapsed="false">
      <c r="A4" s="3" t="s">
        <v>41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</row>
    <row r="5" customFormat="false" ht="15" hidden="false" customHeight="false" outlineLevel="0" collapsed="false">
      <c r="A5" s="13" t="s">
        <v>53</v>
      </c>
      <c r="B5" s="17" t="n">
        <f aca="false">IF($A5="","",IFERROR(INDEX('Week 1'!K:K,MATCH($A5,'Week 1'!A:A,0)),""))</f>
        <v>79</v>
      </c>
      <c r="C5" s="17" t="n">
        <f aca="false">IF($A5="","",IFERROR(INDEX('Week 2'!K:K,MATCH($A5,'Week 2'!A:A,0)),""))</f>
        <v>79</v>
      </c>
      <c r="D5" s="17" t="n">
        <f aca="false">IF($A5="","",IFERROR(INDEX('Week 3'!K:K,MATCH($A5,'Week 3'!A:A,0)),""))</f>
        <v>79</v>
      </c>
      <c r="E5" s="17" t="n">
        <f aca="false">IF($A5="","",IFERROR(INDEX('Week 4'!K:K,MATCH($A5,'Week 4'!A:A,0)),""))</f>
        <v>79</v>
      </c>
      <c r="F5" s="17" t="n">
        <f aca="false">IF($A5="","",IFERROR(INDEX('Week 5'!K:K,MATCH($A5,'Week 5'!A:A,0)),""))</f>
        <v>79</v>
      </c>
      <c r="G5" s="15" t="n">
        <f aca="false">IF(COUNT(B5:F5)=0,"",AVERAGE(B5:F5))</f>
        <v>79</v>
      </c>
      <c r="H5" s="18" t="n">
        <f aca="false">IF(OR(B5="",F5=""),"",F5-B5)</f>
        <v>0</v>
      </c>
      <c r="I5" s="13" t="s">
        <v>70</v>
      </c>
      <c r="J5" s="13" t="s">
        <v>71</v>
      </c>
    </row>
    <row r="6" customFormat="false" ht="15" hidden="false" customHeight="false" outlineLevel="0" collapsed="false">
      <c r="A6" s="13"/>
      <c r="B6" s="17" t="str">
        <f aca="false">IF($A6="","",IFERROR(INDEX('Week 1'!K:K,MATCH($A6,'Week 1'!A:A,0)),""))</f>
        <v/>
      </c>
      <c r="C6" s="17" t="str">
        <f aca="false">IF($A6="","",IFERROR(INDEX('Week 2'!K:K,MATCH($A6,'Week 2'!A:A,0)),""))</f>
        <v/>
      </c>
      <c r="D6" s="17" t="str">
        <f aca="false">IF($A6="","",IFERROR(INDEX('Week 3'!K:K,MATCH($A6,'Week 3'!A:A,0)),""))</f>
        <v/>
      </c>
      <c r="E6" s="17" t="str">
        <f aca="false">IF($A6="","",IFERROR(INDEX('Week 4'!K:K,MATCH($A6,'Week 4'!A:A,0)),""))</f>
        <v/>
      </c>
      <c r="F6" s="17" t="str">
        <f aca="false">IF($A6="","",IFERROR(INDEX('Week 5'!K:K,MATCH($A6,'Week 5'!A:A,0)),""))</f>
        <v/>
      </c>
      <c r="G6" s="15" t="str">
        <f aca="false">IF(COUNT(B6:F6)=0,"",AVERAGE(B6:F6))</f>
        <v/>
      </c>
      <c r="H6" s="18" t="str">
        <f aca="false">IF(OR(B6="",F6=""),"",F6-B6)</f>
        <v/>
      </c>
      <c r="I6" s="13"/>
      <c r="J6" s="13"/>
    </row>
    <row r="7" customFormat="false" ht="15" hidden="false" customHeight="false" outlineLevel="0" collapsed="false">
      <c r="A7" s="13"/>
      <c r="B7" s="17" t="str">
        <f aca="false">IF($A7="","",IFERROR(INDEX('Week 1'!K:K,MATCH($A7,'Week 1'!A:A,0)),""))</f>
        <v/>
      </c>
      <c r="C7" s="17" t="str">
        <f aca="false">IF($A7="","",IFERROR(INDEX('Week 2'!K:K,MATCH($A7,'Week 2'!A:A,0)),""))</f>
        <v/>
      </c>
      <c r="D7" s="17" t="str">
        <f aca="false">IF($A7="","",IFERROR(INDEX('Week 3'!K:K,MATCH($A7,'Week 3'!A:A,0)),""))</f>
        <v/>
      </c>
      <c r="E7" s="17" t="str">
        <f aca="false">IF($A7="","",IFERROR(INDEX('Week 4'!K:K,MATCH($A7,'Week 4'!A:A,0)),""))</f>
        <v/>
      </c>
      <c r="F7" s="17" t="str">
        <f aca="false">IF($A7="","",IFERROR(INDEX('Week 5'!K:K,MATCH($A7,'Week 5'!A:A,0)),""))</f>
        <v/>
      </c>
      <c r="G7" s="15" t="str">
        <f aca="false">IF(COUNT(B7:F7)=0,"",AVERAGE(B7:F7))</f>
        <v/>
      </c>
      <c r="H7" s="18" t="str">
        <f aca="false">IF(OR(B7="",F7=""),"",F7-B7)</f>
        <v/>
      </c>
      <c r="I7" s="13"/>
      <c r="J7" s="13"/>
    </row>
    <row r="8" customFormat="false" ht="15" hidden="false" customHeight="false" outlineLevel="0" collapsed="false">
      <c r="A8" s="13"/>
      <c r="B8" s="17" t="str">
        <f aca="false">IF($A8="","",IFERROR(INDEX('Week 1'!K:K,MATCH($A8,'Week 1'!A:A,0)),""))</f>
        <v/>
      </c>
      <c r="C8" s="17" t="str">
        <f aca="false">IF($A8="","",IFERROR(INDEX('Week 2'!K:K,MATCH($A8,'Week 2'!A:A,0)),""))</f>
        <v/>
      </c>
      <c r="D8" s="17" t="str">
        <f aca="false">IF($A8="","",IFERROR(INDEX('Week 3'!K:K,MATCH($A8,'Week 3'!A:A,0)),""))</f>
        <v/>
      </c>
      <c r="E8" s="17" t="str">
        <f aca="false">IF($A8="","",IFERROR(INDEX('Week 4'!K:K,MATCH($A8,'Week 4'!A:A,0)),""))</f>
        <v/>
      </c>
      <c r="F8" s="17" t="str">
        <f aca="false">IF($A8="","",IFERROR(INDEX('Week 5'!K:K,MATCH($A8,'Week 5'!A:A,0)),""))</f>
        <v/>
      </c>
      <c r="G8" s="15" t="str">
        <f aca="false">IF(COUNT(B8:F8)=0,"",AVERAGE(B8:F8))</f>
        <v/>
      </c>
      <c r="H8" s="18" t="str">
        <f aca="false">IF(OR(B8="",F8=""),"",F8-B8)</f>
        <v/>
      </c>
      <c r="I8" s="13"/>
      <c r="J8" s="13"/>
    </row>
    <row r="9" customFormat="false" ht="15" hidden="false" customHeight="false" outlineLevel="0" collapsed="false">
      <c r="A9" s="13"/>
      <c r="B9" s="17" t="str">
        <f aca="false">IF($A9="","",IFERROR(INDEX('Week 1'!K:K,MATCH($A9,'Week 1'!A:A,0)),""))</f>
        <v/>
      </c>
      <c r="C9" s="17" t="str">
        <f aca="false">IF($A9="","",IFERROR(INDEX('Week 2'!K:K,MATCH($A9,'Week 2'!A:A,0)),""))</f>
        <v/>
      </c>
      <c r="D9" s="17" t="str">
        <f aca="false">IF($A9="","",IFERROR(INDEX('Week 3'!K:K,MATCH($A9,'Week 3'!A:A,0)),""))</f>
        <v/>
      </c>
      <c r="E9" s="17" t="str">
        <f aca="false">IF($A9="","",IFERROR(INDEX('Week 4'!K:K,MATCH($A9,'Week 4'!A:A,0)),""))</f>
        <v/>
      </c>
      <c r="F9" s="17" t="str">
        <f aca="false">IF($A9="","",IFERROR(INDEX('Week 5'!K:K,MATCH($A9,'Week 5'!A:A,0)),""))</f>
        <v/>
      </c>
      <c r="G9" s="15" t="str">
        <f aca="false">IF(COUNT(B9:F9)=0,"",AVERAGE(B9:F9))</f>
        <v/>
      </c>
      <c r="H9" s="18" t="str">
        <f aca="false">IF(OR(B9="",F9=""),"",F9-B9)</f>
        <v/>
      </c>
      <c r="I9" s="13"/>
      <c r="J9" s="13"/>
    </row>
    <row r="10" customFormat="false" ht="15" hidden="false" customHeight="false" outlineLevel="0" collapsed="false">
      <c r="A10" s="13"/>
      <c r="B10" s="17" t="str">
        <f aca="false">IF($A10="","",IFERROR(INDEX('Week 1'!K:K,MATCH($A10,'Week 1'!A:A,0)),""))</f>
        <v/>
      </c>
      <c r="C10" s="17" t="str">
        <f aca="false">IF($A10="","",IFERROR(INDEX('Week 2'!K:K,MATCH($A10,'Week 2'!A:A,0)),""))</f>
        <v/>
      </c>
      <c r="D10" s="17" t="str">
        <f aca="false">IF($A10="","",IFERROR(INDEX('Week 3'!K:K,MATCH($A10,'Week 3'!A:A,0)),""))</f>
        <v/>
      </c>
      <c r="E10" s="17" t="str">
        <f aca="false">IF($A10="","",IFERROR(INDEX('Week 4'!K:K,MATCH($A10,'Week 4'!A:A,0)),""))</f>
        <v/>
      </c>
      <c r="F10" s="17" t="str">
        <f aca="false">IF($A10="","",IFERROR(INDEX('Week 5'!K:K,MATCH($A10,'Week 5'!A:A,0)),""))</f>
        <v/>
      </c>
      <c r="G10" s="15" t="str">
        <f aca="false">IF(COUNT(B10:F10)=0,"",AVERAGE(B10:F10))</f>
        <v/>
      </c>
      <c r="H10" s="18" t="str">
        <f aca="false">IF(OR(B10="",F10=""),"",F10-B10)</f>
        <v/>
      </c>
      <c r="I10" s="13"/>
      <c r="J10" s="13"/>
    </row>
    <row r="11" customFormat="false" ht="15" hidden="false" customHeight="false" outlineLevel="0" collapsed="false">
      <c r="A11" s="13"/>
      <c r="B11" s="17" t="str">
        <f aca="false">IF($A11="","",IFERROR(INDEX('Week 1'!K:K,MATCH($A11,'Week 1'!A:A,0)),""))</f>
        <v/>
      </c>
      <c r="C11" s="17" t="str">
        <f aca="false">IF($A11="","",IFERROR(INDEX('Week 2'!K:K,MATCH($A11,'Week 2'!A:A,0)),""))</f>
        <v/>
      </c>
      <c r="D11" s="17" t="str">
        <f aca="false">IF($A11="","",IFERROR(INDEX('Week 3'!K:K,MATCH($A11,'Week 3'!A:A,0)),""))</f>
        <v/>
      </c>
      <c r="E11" s="17" t="str">
        <f aca="false">IF($A11="","",IFERROR(INDEX('Week 4'!K:K,MATCH($A11,'Week 4'!A:A,0)),""))</f>
        <v/>
      </c>
      <c r="F11" s="17" t="str">
        <f aca="false">IF($A11="","",IFERROR(INDEX('Week 5'!K:K,MATCH($A11,'Week 5'!A:A,0)),""))</f>
        <v/>
      </c>
      <c r="G11" s="15" t="str">
        <f aca="false">IF(COUNT(B11:F11)=0,"",AVERAGE(B11:F11))</f>
        <v/>
      </c>
      <c r="H11" s="18" t="str">
        <f aca="false">IF(OR(B11="",F11=""),"",F11-B11)</f>
        <v/>
      </c>
      <c r="I11" s="13"/>
      <c r="J11" s="13"/>
    </row>
    <row r="12" customFormat="false" ht="15" hidden="false" customHeight="false" outlineLevel="0" collapsed="false">
      <c r="A12" s="13"/>
      <c r="B12" s="17" t="str">
        <f aca="false">IF($A12="","",IFERROR(INDEX('Week 1'!K:K,MATCH($A12,'Week 1'!A:A,0)),""))</f>
        <v/>
      </c>
      <c r="C12" s="17" t="str">
        <f aca="false">IF($A12="","",IFERROR(INDEX('Week 2'!K:K,MATCH($A12,'Week 2'!A:A,0)),""))</f>
        <v/>
      </c>
      <c r="D12" s="17" t="str">
        <f aca="false">IF($A12="","",IFERROR(INDEX('Week 3'!K:K,MATCH($A12,'Week 3'!A:A,0)),""))</f>
        <v/>
      </c>
      <c r="E12" s="17" t="str">
        <f aca="false">IF($A12="","",IFERROR(INDEX('Week 4'!K:K,MATCH($A12,'Week 4'!A:A,0)),""))</f>
        <v/>
      </c>
      <c r="F12" s="17" t="str">
        <f aca="false">IF($A12="","",IFERROR(INDEX('Week 5'!K:K,MATCH($A12,'Week 5'!A:A,0)),""))</f>
        <v/>
      </c>
      <c r="G12" s="15" t="str">
        <f aca="false">IF(COUNT(B12:F12)=0,"",AVERAGE(B12:F12))</f>
        <v/>
      </c>
      <c r="H12" s="18" t="str">
        <f aca="false">IF(OR(B12="",F12=""),"",F12-B12)</f>
        <v/>
      </c>
      <c r="I12" s="13"/>
      <c r="J12" s="13"/>
    </row>
    <row r="13" customFormat="false" ht="15" hidden="false" customHeight="false" outlineLevel="0" collapsed="false">
      <c r="A13" s="13"/>
      <c r="B13" s="17" t="str">
        <f aca="false">IF($A13="","",IFERROR(INDEX('Week 1'!K:K,MATCH($A13,'Week 1'!A:A,0)),""))</f>
        <v/>
      </c>
      <c r="C13" s="17" t="str">
        <f aca="false">IF($A13="","",IFERROR(INDEX('Week 2'!K:K,MATCH($A13,'Week 2'!A:A,0)),""))</f>
        <v/>
      </c>
      <c r="D13" s="17" t="str">
        <f aca="false">IF($A13="","",IFERROR(INDEX('Week 3'!K:K,MATCH($A13,'Week 3'!A:A,0)),""))</f>
        <v/>
      </c>
      <c r="E13" s="17" t="str">
        <f aca="false">IF($A13="","",IFERROR(INDEX('Week 4'!K:K,MATCH($A13,'Week 4'!A:A,0)),""))</f>
        <v/>
      </c>
      <c r="F13" s="17" t="str">
        <f aca="false">IF($A13="","",IFERROR(INDEX('Week 5'!K:K,MATCH($A13,'Week 5'!A:A,0)),""))</f>
        <v/>
      </c>
      <c r="G13" s="15" t="str">
        <f aca="false">IF(COUNT(B13:F13)=0,"",AVERAGE(B13:F13))</f>
        <v/>
      </c>
      <c r="H13" s="18" t="str">
        <f aca="false">IF(OR(B13="",F13=""),"",F13-B13)</f>
        <v/>
      </c>
      <c r="I13" s="13"/>
      <c r="J13" s="13"/>
    </row>
    <row r="14" customFormat="false" ht="15" hidden="false" customHeight="false" outlineLevel="0" collapsed="false">
      <c r="A14" s="13"/>
      <c r="B14" s="17" t="str">
        <f aca="false">IF($A14="","",IFERROR(INDEX('Week 1'!K:K,MATCH($A14,'Week 1'!A:A,0)),""))</f>
        <v/>
      </c>
      <c r="C14" s="17" t="str">
        <f aca="false">IF($A14="","",IFERROR(INDEX('Week 2'!K:K,MATCH($A14,'Week 2'!A:A,0)),""))</f>
        <v/>
      </c>
      <c r="D14" s="17" t="str">
        <f aca="false">IF($A14="","",IFERROR(INDEX('Week 3'!K:K,MATCH($A14,'Week 3'!A:A,0)),""))</f>
        <v/>
      </c>
      <c r="E14" s="17" t="str">
        <f aca="false">IF($A14="","",IFERROR(INDEX('Week 4'!K:K,MATCH($A14,'Week 4'!A:A,0)),""))</f>
        <v/>
      </c>
      <c r="F14" s="17" t="str">
        <f aca="false">IF($A14="","",IFERROR(INDEX('Week 5'!K:K,MATCH($A14,'Week 5'!A:A,0)),""))</f>
        <v/>
      </c>
      <c r="G14" s="15" t="str">
        <f aca="false">IF(COUNT(B14:F14)=0,"",AVERAGE(B14:F14))</f>
        <v/>
      </c>
      <c r="H14" s="18" t="str">
        <f aca="false">IF(OR(B14="",F14=""),"",F14-B14)</f>
        <v/>
      </c>
      <c r="I14" s="13"/>
      <c r="J14" s="13"/>
    </row>
    <row r="15" customFormat="false" ht="15" hidden="false" customHeight="false" outlineLevel="0" collapsed="false">
      <c r="A15" s="13"/>
      <c r="B15" s="17" t="str">
        <f aca="false">IF($A15="","",IFERROR(INDEX('Week 1'!K:K,MATCH($A15,'Week 1'!A:A,0)),""))</f>
        <v/>
      </c>
      <c r="C15" s="17" t="str">
        <f aca="false">IF($A15="","",IFERROR(INDEX('Week 2'!K:K,MATCH($A15,'Week 2'!A:A,0)),""))</f>
        <v/>
      </c>
      <c r="D15" s="17" t="str">
        <f aca="false">IF($A15="","",IFERROR(INDEX('Week 3'!K:K,MATCH($A15,'Week 3'!A:A,0)),""))</f>
        <v/>
      </c>
      <c r="E15" s="17" t="str">
        <f aca="false">IF($A15="","",IFERROR(INDEX('Week 4'!K:K,MATCH($A15,'Week 4'!A:A,0)),""))</f>
        <v/>
      </c>
      <c r="F15" s="17" t="str">
        <f aca="false">IF($A15="","",IFERROR(INDEX('Week 5'!K:K,MATCH($A15,'Week 5'!A:A,0)),""))</f>
        <v/>
      </c>
      <c r="G15" s="15" t="str">
        <f aca="false">IF(COUNT(B15:F15)=0,"",AVERAGE(B15:F15))</f>
        <v/>
      </c>
      <c r="H15" s="18" t="str">
        <f aca="false">IF(OR(B15="",F15=""),"",F15-B15)</f>
        <v/>
      </c>
      <c r="I15" s="13"/>
      <c r="J15" s="13"/>
    </row>
    <row r="16" customFormat="false" ht="15" hidden="false" customHeight="false" outlineLevel="0" collapsed="false">
      <c r="A16" s="13"/>
      <c r="B16" s="17" t="str">
        <f aca="false">IF($A16="","",IFERROR(INDEX('Week 1'!K:K,MATCH($A16,'Week 1'!A:A,0)),""))</f>
        <v/>
      </c>
      <c r="C16" s="17" t="str">
        <f aca="false">IF($A16="","",IFERROR(INDEX('Week 2'!K:K,MATCH($A16,'Week 2'!A:A,0)),""))</f>
        <v/>
      </c>
      <c r="D16" s="17" t="str">
        <f aca="false">IF($A16="","",IFERROR(INDEX('Week 3'!K:K,MATCH($A16,'Week 3'!A:A,0)),""))</f>
        <v/>
      </c>
      <c r="E16" s="17" t="str">
        <f aca="false">IF($A16="","",IFERROR(INDEX('Week 4'!K:K,MATCH($A16,'Week 4'!A:A,0)),""))</f>
        <v/>
      </c>
      <c r="F16" s="17" t="str">
        <f aca="false">IF($A16="","",IFERROR(INDEX('Week 5'!K:K,MATCH($A16,'Week 5'!A:A,0)),""))</f>
        <v/>
      </c>
      <c r="G16" s="15" t="str">
        <f aca="false">IF(COUNT(B16:F16)=0,"",AVERAGE(B16:F16))</f>
        <v/>
      </c>
      <c r="H16" s="18" t="str">
        <f aca="false">IF(OR(B16="",F16=""),"",F16-B16)</f>
        <v/>
      </c>
      <c r="I16" s="13"/>
      <c r="J16" s="13"/>
    </row>
    <row r="18" customFormat="false" ht="15" hidden="false" customHeight="false" outlineLevel="0" collapsed="false">
      <c r="A18" s="2" t="s">
        <v>72</v>
      </c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42" hidden="false" customHeight="true" outlineLevel="0" collapsed="false">
      <c r="A4" s="3" t="s">
        <v>41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  <c r="J4" s="3" t="s">
        <v>52</v>
      </c>
    </row>
    <row r="5" customFormat="false" ht="15" hidden="false" customHeight="false" outlineLevel="0" collapsed="false">
      <c r="A5" s="13" t="s">
        <v>53</v>
      </c>
      <c r="B5" s="13" t="s">
        <v>83</v>
      </c>
      <c r="C5" s="19" t="n">
        <v>0.78</v>
      </c>
      <c r="D5" s="19" t="n">
        <v>0.86</v>
      </c>
      <c r="E5" s="19" t="n">
        <v>0.92</v>
      </c>
      <c r="F5" s="8" t="n">
        <f aca="false">IF(COUNT(C5:E5)=0,"",MAX(C5:E5))</f>
        <v>0.92</v>
      </c>
      <c r="G5" s="20" t="str">
        <f aca="false">IF(F5="","",IF(F5&gt;=0.9,"YES — may book","Not yet"))</f>
        <v>YES — may book</v>
      </c>
      <c r="H5" s="13"/>
      <c r="I5" s="13"/>
      <c r="J5" s="13" t="s">
        <v>84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8" t="str">
        <f aca="false">IF(COUNT(C6:E6)=0,"",MAX(C6:E6))</f>
        <v/>
      </c>
      <c r="G6" s="20" t="str">
        <f aca="false">IF(F6="","",IF(F6&gt;=0.9,"YES — may book","Not yet"))</f>
        <v/>
      </c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8" t="str">
        <f aca="false">IF(COUNT(C7:E7)=0,"",MAX(C7:E7))</f>
        <v/>
      </c>
      <c r="G7" s="20" t="str">
        <f aca="false">IF(F7="","",IF(F7&gt;=0.9,"YES — may book","Not yet"))</f>
        <v/>
      </c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8" t="str">
        <f aca="false">IF(COUNT(C8:E8)=0,"",MAX(C8:E8))</f>
        <v/>
      </c>
      <c r="G8" s="20" t="str">
        <f aca="false">IF(F8="","",IF(F8&gt;=0.9,"YES — may book","Not yet"))</f>
        <v/>
      </c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8" t="str">
        <f aca="false">IF(COUNT(C9:E9)=0,"",MAX(C9:E9))</f>
        <v/>
      </c>
      <c r="G9" s="20" t="str">
        <f aca="false">IF(F9="","",IF(F9&gt;=0.9,"YES — may book","Not yet"))</f>
        <v/>
      </c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8" t="str">
        <f aca="false">IF(COUNT(C10:E10)=0,"",MAX(C10:E10))</f>
        <v/>
      </c>
      <c r="G10" s="20" t="str">
        <f aca="false">IF(F10="","",IF(F10&gt;=0.9,"YES — may book","Not yet"))</f>
        <v/>
      </c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8" t="str">
        <f aca="false">IF(COUNT(C11:E11)=0,"",MAX(C11:E11))</f>
        <v/>
      </c>
      <c r="G11" s="20" t="str">
        <f aca="false">IF(F11="","",IF(F11&gt;=0.9,"YES — may book","Not yet"))</f>
        <v/>
      </c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8" t="str">
        <f aca="false">IF(COUNT(C12:E12)=0,"",MAX(C12:E12))</f>
        <v/>
      </c>
      <c r="G12" s="20" t="str">
        <f aca="false">IF(F12="","",IF(F12&gt;=0.9,"YES — may book","Not yet"))</f>
        <v/>
      </c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8" t="str">
        <f aca="false">IF(COUNT(C13:E13)=0,"",MAX(C13:E13))</f>
        <v/>
      </c>
      <c r="G13" s="20" t="str">
        <f aca="false">IF(F13="","",IF(F13&gt;=0.9,"YES — may book","Not yet"))</f>
        <v/>
      </c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8" t="str">
        <f aca="false">IF(COUNT(C14:E14)=0,"",MAX(C14:E14))</f>
        <v/>
      </c>
      <c r="G14" s="20" t="str">
        <f aca="false">IF(F14="","",IF(F14&gt;=0.9,"YES — may book","Not yet"))</f>
        <v/>
      </c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8" t="str">
        <f aca="false">IF(COUNT(C15:E15)=0,"",MAX(C15:E15))</f>
        <v/>
      </c>
      <c r="G15" s="20" t="str">
        <f aca="false">IF(F15="","",IF(F15&gt;=0.9,"YES — may book","Not yet"))</f>
        <v/>
      </c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8" t="str">
        <f aca="false">IF(COUNT(C16:E16)=0,"",MAX(C16:E16))</f>
        <v/>
      </c>
      <c r="G16" s="20" t="str">
        <f aca="false">IF(F16="","",IF(F16&gt;=0.9,"YES — may book","Not yet"))</f>
        <v/>
      </c>
      <c r="H16" s="13"/>
      <c r="I16" s="13"/>
      <c r="J16" s="13"/>
    </row>
  </sheetData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2026-07-14T19:13:29Z</dcterms:created>
  <dc:creator>openpyxl</dc:creator>
  <dc:description/>
  <dc:language>en-US</dc:language>
  <cp:lastModifiedBy/>
  <dcterms:modified xsi:type="dcterms:W3CDTF">2026-07-14T19:13:29Z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